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<sst xmlns="http://schemas.openxmlformats.org/spreadsheetml/2006/main" count="42" uniqueCount="41">
  <si>
    <t>Bill of materials FRED</t>
  </si>
  <si>
    <t>Quantity</t>
  </si>
  <si>
    <t>Cost/Unit (SEK)</t>
  </si>
  <si>
    <t>Total Cost (SEK)</t>
  </si>
  <si>
    <t>purpose</t>
  </si>
  <si>
    <t>Link</t>
  </si>
  <si>
    <t>Raspberry Pi Pico 2W</t>
  </si>
  <si>
    <t>core of FRED, runs the edge firmware and has built-in WiFi for MQTT communication</t>
  </si>
  <si>
    <t>https://www.amazon.se/Raspberry-Pi-SC1633-Pico-2W/dp/B0DNZKYGWP/ref=sr_1_2_mod_primary_new?crid=14I96JWICA48F&amp;dib=eyJ2IjoiMSJ9.J-2GlDEGH1aI3AZuOAv3u5beN0mxVJ0XlRw3rfQt5dFJgcINmAut9IDLv9BuKQ7rGf3KSRwnPzAvqsF77DvrH329cE9DoDk1AtKPYsXMRJj4ieGL4bouNyHm2W89ZiFemIe4iaxHzrMV0sodWwVrNpRvy6DTI6KWn5mbZAXvs-MOFBf2eynX6kYbHZdiYpJbz_ZR9GyOvUg4FDDBsXxhKFJqK33RRcWh7mgBNZShhtQte80I1W8_Gspf4OfDtBLhbzaBtZ_jKa6rIRFfAVkefMlZIkaAlngtrCN5F3EQSW4.iaibmsbrPr9NiL9pyyhhcvwU8wiXElRwi3W992V1-b0&amp;dib_tag=se&amp;keywords=raspberry+pi+pico+2w&amp;qid=1789828064&amp;sbo=RZvfv%2F%2FHxDF%2BO5021pAnSA%3D%3D&amp;sprefix=rasberry+pi+pico+2w%2Caps%2C157&amp;sr=8-2</t>
  </si>
  <si>
    <t>DHT11 temperature and humidity sensor</t>
  </si>
  <si>
    <t>reads room temperature and humidity, published via MQTT</t>
  </si>
  <si>
    <t>https://www.amazon.se/DHT-11-Digital-temperatur-fuktighetstemperatursensor-arduino/dp/B0H69YCQYF/ref=sr_1_5?crid=27249MDGG6TOA&amp;dib=eyJ2IjoiMSJ9.qbzQT_OcviSb_VH9L39VSbxwf12WKoRgfEx_joOnZGSCnjqu1k8WbFO3z8e1k61g6xqdkjr-I_-gtsSgF6mZU7uF_N_eMzTYzcnt0_rkLmZvpSlMDlrLww5SIGNGx4Vrn4mOahHijDYwoN_4jPguYOUy7KyBspgNotqF4kWWq-FYL8e2HLKTDlAmEWa-G2_JfXFxNGHH4ewKQll1LDMXOeuGiIkY86e5CfnOeN01L4aSifbRTeBxnj1CPnMN0feJ16B38mOGYS4dkipphhO20nhilj8rIis-fg0t5ls1Cgk.xJCHXbIqBDHDfhtcqXBRc9qra5U042TKmwEo-RnY2p4&amp;dib_tag=se&amp;keywords=dht11&amp;qid=1789828324&amp;sprefix=dht11%2Caps%2C125&amp;sr=8-5</t>
  </si>
  <si>
    <t>MAX98357A I2S 3W amplifier</t>
  </si>
  <si>
    <t>drives the speaker for FRED's spoken TTS responses via I2S</t>
  </si>
  <si>
    <t>https://www.amazon.se/dp/B0F21T7Q3P</t>
  </si>
  <si>
    <t>Speaker (for MAX98357A)</t>
  </si>
  <si>
    <t>outputs audio from the MAX98357A amplifier, 4ohm/3W matches the amplifier's spec</t>
  </si>
  <si>
    <t>https://www.electrokit.com/en/hogtalare-4ohm-3w-i-lada-med-jst-kontakt</t>
  </si>
  <si>
    <t>SH1106 0.96" OLED display (I2C)</t>
  </si>
  <si>
    <t>displays FRED's face/mood as well as room and network status</t>
  </si>
  <si>
    <t>https://www.amazon.se/stycken-seriell-SSH1106-LCD-display-LCD-modul/dp/B0DSHZ29VF/ref=sr_1_6?crid=61WVQMNWQZBI&amp;dib=eyJ2IjoiMSJ9.-JYpONCGRpC4CGqbHiWaucrlEii6guumZIfR8E8hfPwIFshhx31-X7hQ5hhcIEAb6oBDIiZXI_NQpwfPJxMXDCQkIYRGJYMsbyX9iRLU5sMCrIc2p6asSemRVF3aOpqqRZG2Dn2Dr49HlmaC4NkKhRY-_6yo2YvoKaanwUfRLb9XOBx18W5GcrmuD7XwuYvmtEi3fUHM7x3CF6x29SJaHYvnUF0nxGeeXB9avaY1f8uzfL5rOAa6SyefCZYmMVUSOgKGq8enNCW0AWCsdL_3FhM8pf-t_jHeNnt6UjBBdVU.X42NMpDcMXaLrPU8fcdBieczB2Gif1BURo9pXUZJyp8&amp;dib_tag=se&amp;keywords=sh1106+0.96+%22oled-display+%28i2c%29%5C%22+%22oled-display+%28i2c%29&amp;qid=1789828285&amp;sprefix=sh1106+0.96%22+oled-display+i2c+%2Caps%2C116&amp;sr=8-6</t>
  </si>
  <si>
    <t>PIR motion sensor</t>
  </si>
  <si>
    <t>determines whether someone is present in the room, drives spontaneous reactions</t>
  </si>
  <si>
    <t>https://www.electrokit.com/en/product/pir-motion-sensor-hc-sr501/</t>
  </si>
  <si>
    <t>Photoresistor/LDR light sensor</t>
  </si>
  <si>
    <t>measures room light level, determines the "TOO_DARK" state</t>
  </si>
  <si>
    <t>https://amzn.eu/d/0hJTtCKS</t>
  </si>
  <si>
    <t>Push button</t>
  </si>
  <si>
    <t>one to switch the display screen, one dedicated interaction button to talk to FRED</t>
  </si>
  <si>
    <t>https://www.electrokit.com/en/tryckknapp-12.2mm-1-pol-off-on-svart</t>
  </si>
  <si>
    <t>Breadboard</t>
  </si>
  <si>
    <t>breadboard for mounting components without soldering</t>
  </si>
  <si>
    <t>https://www.electrokit.com/en/kopplingsdack-840-anslutningar</t>
  </si>
  <si>
    <t>Jumper wires</t>
  </si>
  <si>
    <t>wires to connect components on the breadboard</t>
  </si>
  <si>
    <t>https://www.electrokit.com/en/kopplingstrad-byglar-for-kopplingsdack-mjuka-65st</t>
  </si>
  <si>
    <t>Status LED</t>
  </si>
  <si>
    <t>shows WiFi connection status</t>
  </si>
  <si>
    <t>https://www.electrokit.com/en/led-5mm-rod-inbyggt-motstand-5v</t>
  </si>
  <si>
    <t>Number of Prototypes</t>
  </si>
  <si>
    <t>Prototype Cost (SEK)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</si>
</sst>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kr]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4.0"/>
      <color theme="1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7F7"/>
        <bgColor rgb="FFFFF7F7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1" numFmtId="3" xfId="0" applyAlignment="1" applyFont="1" applyNumberFormat="1">
      <alignment horizontal="right"/>
    </xf>
    <xf borderId="0" fillId="0" fontId="3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readingOrder="0"/>
    </xf>
    <xf borderId="2" fillId="0" fontId="2" numFmtId="3" xfId="0" applyAlignment="1" applyBorder="1" applyFont="1" applyNumberFormat="1">
      <alignment horizontal="center"/>
    </xf>
    <xf borderId="3" fillId="0" fontId="1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center"/>
    </xf>
    <xf borderId="5" fillId="0" fontId="1" numFmtId="3" xfId="0" applyAlignment="1" applyBorder="1" applyFont="1" applyNumberFormat="1">
      <alignment horizontal="left" readingOrder="0"/>
    </xf>
    <xf borderId="6" fillId="0" fontId="1" numFmtId="164" xfId="0" applyAlignment="1" applyBorder="1" applyFont="1" applyNumberFormat="1">
      <alignment horizontal="center"/>
    </xf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H15" displayName="Table1" name="Table1" id="1">
  <tableColumns count="6">
    <tableColumn name="Bill of materials FRED" id="1"/>
    <tableColumn name="Quantity" id="2"/>
    <tableColumn name="Cost/Unit (SEK)" id="3"/>
    <tableColumn name="Total Cost (SEK)" id="4"/>
    <tableColumn name="purpose" id="5"/>
    <tableColumn name="Link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lectrokit.com/en/led-5mm-rod-inbyggt-motstand-5v" TargetMode="External"/><Relationship Id="rId10" Type="http://schemas.openxmlformats.org/officeDocument/2006/relationships/hyperlink" Target="https://www.electrokit.com/en/kopplingstrad-byglar-for-kopplingsdack-mjuka-65st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www.amazon.se/Raspberry-Pi-SC1633-Pico-2W/dp/B0DNZKYGWP/ref=sr_1_2_mod_primary_new?crid=14I96JWICA48F&amp;dib=eyJ2IjoiMSJ9.J-2GlDEGH1aI3AZuOAv3u5beN0mxVJ0XlRw3rfQt5dFJgcINmAut9IDLv9BuKQ7rGf3KSRwnPzAvqsF77DvrH329cE9DoDk1AtKPYsXMRJj4ieGL4bouNyHm2W89ZiFemIe4iaxHzrMV0sodWwVrNpRvy6DTI6KWn5mbZAXvs-MOFBf2eynX6kYbHZdiYpJbz_ZR9GyOvUg4FDDBsXxhKFJqK33RRcWh7mgBNZShhtQte80I1W8_Gspf4OfDtBLhbzaBtZ_jKa6rIRFfAVkefMlZIkaAlngtrCN5F3EQSW4.iaibmsbrPr9NiL9pyyhhcvwU8wiXElRwi3W992V1-b0&amp;dib_tag=se&amp;keywords=raspberry+pi+pico+2w&amp;qid=1789828064&amp;sbo=RZvfv%2F%2FHxDF%2BO5021pAnSA%3D%3D&amp;sprefix=rasberry+pi+pico+2w%2Caps%2C157&amp;sr=8-2" TargetMode="External"/><Relationship Id="rId2" Type="http://schemas.openxmlformats.org/officeDocument/2006/relationships/hyperlink" Target="https://www.amazon.se/DHT-11-Digital-temperatur-fuktighetstemperatursensor-arduino/dp/B0H69YCQYF/ref=sr_1_5?crid=27249MDGG6TOA&amp;dib=eyJ2IjoiMSJ9.qbzQT_OcviSb_VH9L39VSbxwf12WKoRgfEx_joOnZGSCnjqu1k8WbFO3z8e1k61g6xqdkjr-I_-gtsSgF6mZU7uF_N_eMzTYzcnt0_rkLmZvpSlMDlrLww5SIGNGx4Vrn4mOahHijDYwoN_4jPguYOUy7KyBspgNotqF4kWWq-FYL8e2HLKTDlAmEWa-G2_JfXFxNGHH4ewKQll1LDMXOeuGiIkY86e5CfnOeN01L4aSifbRTeBxnj1CPnMN0feJ16B38mOGYS4dkipphhO20nhilj8rIis-fg0t5ls1Cgk.xJCHXbIqBDHDfhtcqXBRc9qra5U042TKmwEo-RnY2p4&amp;dib_tag=se&amp;keywords=dht11&amp;qid=1789828324&amp;sprefix=dht11%2Caps%2C125&amp;sr=8-5" TargetMode="External"/><Relationship Id="rId3" Type="http://schemas.openxmlformats.org/officeDocument/2006/relationships/hyperlink" Target="https://www.amazon.se/dp/B0F21T7Q3P" TargetMode="External"/><Relationship Id="rId4" Type="http://schemas.openxmlformats.org/officeDocument/2006/relationships/hyperlink" Target="https://www.electrokit.com/en/hogtalare-4ohm-3w-i-lada-med-jst-kontakt" TargetMode="External"/><Relationship Id="rId9" Type="http://schemas.openxmlformats.org/officeDocument/2006/relationships/hyperlink" Target="https://www.electrokit.com/en/kopplingsdack-840-anslutningar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www.amazon.se/stycken-seriell-SSH1106-LCD-display-LCD-modul/dp/B0DSHZ29VF/ref=sr_1_6?crid=61WVQMNWQZBI&amp;dib=eyJ2IjoiMSJ9.-JYpONCGRpC4CGqbHiWaucrlEii6guumZIfR8E8hfPwIFshhx31-X7hQ5hhcIEAb6oBDIiZXI_NQpwfPJxMXDCQkIYRGJYMsbyX9iRLU5sMCrIc2p6asSemRVF3aOpqqRZG2Dn2Dr49HlmaC4NkKhRY-_6yo2YvoKaanwUfRLb9XOBx18W5GcrmuD7XwuYvmtEi3fUHM7x3CF6x29SJaHYvnUF0nxGeeXB9avaY1f8uzfL5rOAa6SyefCZYmMVUSOgKGq8enNCW0AWCsdL_3FhM8pf-t_jHeNnt6UjBBdVU.X42NMpDcMXaLrPU8fcdBieczB2Gif1BURo9pXUZJyp8&amp;dib_tag=se&amp;keywords=sh1106+0.96+%22oled-display+%28i2c%29%5C%22+%22oled-display+%28i2c%29&amp;qid=1789828285&amp;sprefix=sh1106+0.96%22+oled-display+i2c+%2Caps%2C116&amp;sr=8-6" TargetMode="External"/><Relationship Id="rId6" Type="http://schemas.openxmlformats.org/officeDocument/2006/relationships/hyperlink" Target="https://www.electrokit.com/en/product/pir-motion-sensor-hc-sr501/" TargetMode="External"/><Relationship Id="rId7" Type="http://schemas.openxmlformats.org/officeDocument/2006/relationships/hyperlink" Target="https://amzn.eu/d/0hJTtCKS" TargetMode="External"/><Relationship Id="rId8" Type="http://schemas.openxmlformats.org/officeDocument/2006/relationships/hyperlink" Target="https://www.electrokit.com/en/tryckknapp-12.2mm-1-pol-off-on-sv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3.0"/>
    <col customWidth="1" min="3" max="3" width="42.0"/>
    <col customWidth="1" min="4" max="4" width="21.86"/>
    <col customWidth="1" min="5" max="5" width="23.0"/>
    <col customWidth="1" min="6" max="6" width="23.14"/>
    <col customWidth="1" min="7" max="7" width="43.0"/>
    <col customWidth="1" min="8" max="8" width="131.86"/>
  </cols>
  <sheetData>
    <row r="1" ht="19.5" customHeight="1">
      <c r="A1" s="1"/>
      <c r="B1" s="1"/>
      <c r="C1" s="1"/>
      <c r="F1" s="2"/>
      <c r="G1" s="1"/>
      <c r="H1" s="1"/>
    </row>
    <row r="2" ht="19.5" customHeight="1">
      <c r="A2" s="1"/>
      <c r="B2" s="1"/>
      <c r="C2" s="1"/>
      <c r="F2" s="2"/>
      <c r="G2" s="1"/>
      <c r="H2" s="1"/>
    </row>
    <row r="3" ht="19.5" customHeight="1">
      <c r="A3" s="1"/>
      <c r="B3" s="1"/>
      <c r="C3" s="1"/>
      <c r="D3" s="3"/>
      <c r="E3" s="4"/>
      <c r="F3" s="2"/>
      <c r="G3" s="1"/>
      <c r="H3" s="1"/>
    </row>
    <row r="4" ht="23.25" customHeight="1">
      <c r="A4" s="1"/>
      <c r="B4" s="1"/>
      <c r="C4" s="5" t="s">
        <v>0</v>
      </c>
      <c r="D4" s="6" t="s">
        <v>1</v>
      </c>
      <c r="E4" s="6" t="s">
        <v>2</v>
      </c>
      <c r="F4" s="7" t="s">
        <v>3</v>
      </c>
      <c r="G4" s="8" t="s">
        <v>4</v>
      </c>
      <c r="H4" s="8" t="s">
        <v>5</v>
      </c>
    </row>
    <row r="5" ht="19.5" customHeight="1">
      <c r="A5" s="1"/>
      <c r="B5" s="1"/>
      <c r="C5" s="9" t="s">
        <v>6</v>
      </c>
      <c r="D5" s="10">
        <v>1.0</v>
      </c>
      <c r="E5" s="11">
        <v>183.44</v>
      </c>
      <c r="F5" s="11">
        <f>D5*E5</f>
        <v>183.44</v>
      </c>
      <c r="G5" s="12" t="s">
        <v>7</v>
      </c>
      <c r="H5" s="13" t="s">
        <v>8</v>
      </c>
    </row>
    <row r="6" ht="19.5" customHeight="1">
      <c r="A6" s="1"/>
      <c r="B6" s="1"/>
      <c r="C6" s="9" t="s">
        <v>9</v>
      </c>
      <c r="D6" s="10">
        <v>1.0</v>
      </c>
      <c r="E6" s="14">
        <v>40.675</v>
      </c>
      <c r="F6" s="14">
        <v>81.35</v>
      </c>
      <c r="G6" s="15" t="s">
        <v>10</v>
      </c>
      <c r="H6" s="13" t="s">
        <v>11</v>
      </c>
    </row>
    <row r="7" ht="19.5" customHeight="1">
      <c r="A7" s="1"/>
      <c r="B7" s="1"/>
      <c r="C7" s="9" t="s">
        <v>12</v>
      </c>
      <c r="D7" s="10">
        <v>1.0</v>
      </c>
      <c r="E7" s="14">
        <v>37.144</v>
      </c>
      <c r="F7" s="14">
        <v>111.43</v>
      </c>
      <c r="G7" s="15" t="s">
        <v>13</v>
      </c>
      <c r="H7" s="13" t="s">
        <v>14</v>
      </c>
    </row>
    <row r="8" ht="19.5" customHeight="1">
      <c r="A8" s="1"/>
      <c r="B8" s="1"/>
      <c r="C8" s="9" t="s">
        <v>15</v>
      </c>
      <c r="D8" s="10">
        <v>1.0</v>
      </c>
      <c r="E8" s="14">
        <v>92.0</v>
      </c>
      <c r="F8" s="11">
        <f>D8*E8</f>
        <v>92</v>
      </c>
      <c r="G8" s="15" t="s">
        <v>16</v>
      </c>
      <c r="H8" s="13" t="s">
        <v>17</v>
      </c>
    </row>
    <row r="9" ht="19.5" customHeight="1">
      <c r="A9" s="1"/>
      <c r="B9" s="1"/>
      <c r="C9" s="9" t="s">
        <v>18</v>
      </c>
      <c r="D9" s="10">
        <v>1.0</v>
      </c>
      <c r="E9" s="11">
        <v>61.295</v>
      </c>
      <c r="F9" s="11">
        <v>122.59</v>
      </c>
      <c r="G9" s="15" t="s">
        <v>19</v>
      </c>
      <c r="H9" s="13" t="s">
        <v>20</v>
      </c>
    </row>
    <row r="10" ht="19.5" customHeight="1">
      <c r="A10" s="1"/>
      <c r="B10" s="1"/>
      <c r="C10" s="9" t="s">
        <v>21</v>
      </c>
      <c r="D10" s="10">
        <v>1.0</v>
      </c>
      <c r="E10" s="14">
        <v>49.0</v>
      </c>
      <c r="F10" s="11">
        <f>D10*E10</f>
        <v>49</v>
      </c>
      <c r="G10" s="15" t="s">
        <v>22</v>
      </c>
      <c r="H10" s="13" t="s">
        <v>23</v>
      </c>
    </row>
    <row r="11" ht="19.5" customHeight="1">
      <c r="A11" s="1"/>
      <c r="B11" s="1"/>
      <c r="C11" s="9" t="s">
        <v>24</v>
      </c>
      <c r="D11" s="10">
        <v>1.0</v>
      </c>
      <c r="E11" s="11">
        <v>1.987</v>
      </c>
      <c r="F11" s="11">
        <v>39.74</v>
      </c>
      <c r="G11" s="15" t="s">
        <v>25</v>
      </c>
      <c r="H11" s="13" t="s">
        <v>26</v>
      </c>
    </row>
    <row r="12" ht="19.5" customHeight="1">
      <c r="A12" s="1"/>
      <c r="B12" s="1"/>
      <c r="C12" s="9" t="s">
        <v>27</v>
      </c>
      <c r="D12" s="10">
        <v>2.0</v>
      </c>
      <c r="E12" s="14">
        <v>19.0</v>
      </c>
      <c r="F12" s="11">
        <f t="shared" ref="F12:F15" si="1">D12*E12</f>
        <v>38</v>
      </c>
      <c r="G12" s="15" t="s">
        <v>28</v>
      </c>
      <c r="H12" s="13" t="s">
        <v>29</v>
      </c>
    </row>
    <row r="13" ht="19.5" customHeight="1">
      <c r="A13" s="1"/>
      <c r="B13" s="1"/>
      <c r="C13" s="9" t="s">
        <v>30</v>
      </c>
      <c r="D13" s="10">
        <v>1.0</v>
      </c>
      <c r="E13" s="14">
        <v>69.0</v>
      </c>
      <c r="F13" s="11">
        <f t="shared" si="1"/>
        <v>69</v>
      </c>
      <c r="G13" s="15" t="s">
        <v>31</v>
      </c>
      <c r="H13" s="13" t="s">
        <v>32</v>
      </c>
    </row>
    <row r="14" ht="19.5" customHeight="1">
      <c r="A14" s="1"/>
      <c r="B14" s="1"/>
      <c r="C14" s="9" t="s">
        <v>33</v>
      </c>
      <c r="D14" s="10">
        <v>1.0</v>
      </c>
      <c r="E14" s="14">
        <v>45.0</v>
      </c>
      <c r="F14" s="11">
        <f t="shared" si="1"/>
        <v>45</v>
      </c>
      <c r="G14" s="15" t="s">
        <v>34</v>
      </c>
      <c r="H14" s="13" t="s">
        <v>35</v>
      </c>
    </row>
    <row r="15" ht="19.5" customHeight="1">
      <c r="A15" s="1"/>
      <c r="B15" s="1"/>
      <c r="C15" s="9" t="s">
        <v>36</v>
      </c>
      <c r="D15" s="10">
        <v>1.0</v>
      </c>
      <c r="E15" s="14">
        <v>9.0</v>
      </c>
      <c r="F15" s="11">
        <f t="shared" si="1"/>
        <v>9</v>
      </c>
      <c r="G15" s="15" t="s">
        <v>37</v>
      </c>
      <c r="H15" s="13" t="s">
        <v>38</v>
      </c>
    </row>
    <row r="16" ht="19.5" customHeight="1">
      <c r="A16" s="1"/>
      <c r="B16" s="1"/>
    </row>
    <row r="17" ht="19.5" customHeight="1">
      <c r="A17" s="1"/>
      <c r="B17" s="1"/>
      <c r="D17" s="16" t="s">
        <v>39</v>
      </c>
      <c r="E17" s="17">
        <v>1.0</v>
      </c>
    </row>
    <row r="18" ht="19.5" customHeight="1">
      <c r="A18" s="1"/>
      <c r="B18" s="1"/>
      <c r="D18" s="18" t="s">
        <v>3</v>
      </c>
      <c r="E18" s="19">
        <f>SUM(F5:F15)</f>
        <v>840.55</v>
      </c>
    </row>
    <row r="19" ht="15.75" customHeight="1">
      <c r="A19" s="1"/>
      <c r="B19" s="1"/>
      <c r="C19" s="1"/>
      <c r="D19" s="20" t="s">
        <v>40</v>
      </c>
      <c r="E19" s="21">
        <f>SUMPRODUCT(D5:D15,E5:E15)</f>
        <v>626.541</v>
      </c>
      <c r="F19" s="22"/>
      <c r="G19" s="1"/>
      <c r="H19" s="1"/>
    </row>
    <row r="20" ht="15.75" customHeight="1">
      <c r="A20" s="1"/>
      <c r="B20" s="1"/>
      <c r="C20" s="1"/>
      <c r="D20" s="4"/>
      <c r="E20" s="4"/>
      <c r="F20" s="22"/>
      <c r="G20" s="1"/>
      <c r="H20" s="1"/>
    </row>
  </sheetData>
  <dataValidations>
    <dataValidation type="custom" allowBlank="1" showDropDown="1" sqref="D5:F15">
      <formula1>AND(ISNUMBER(D5),(NOT(OR(NOT(ISERROR(DATEVALUE(D5))), AND(ISNUMBER(D5), LEFT(CELL("format", D5))="D")))))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</hyperlinks>
  <printOptions/>
  <pageMargins bottom="0.75" footer="0.0" header="0.0" left="0.7" right="0.7" top="0.75"/>
  <pageSetup orientation="landscape"/>
  <drawing r:id="rId12"/>
  <tableParts count="1">
    <tablePart r:id="rId14"/>
  </tableParts>
</worksheet>
</file>